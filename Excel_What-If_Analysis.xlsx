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Routeup\"/>
    </mc:Choice>
  </mc:AlternateContent>
  <xr:revisionPtr revIDLastSave="0" documentId="13_ncr:1_{883AB1D5-9CEF-4C00-A997-411FD47806A7}" xr6:coauthVersionLast="47" xr6:coauthVersionMax="47" xr10:uidLastSave="{00000000-0000-0000-0000-000000000000}"/>
  <bookViews>
    <workbookView xWindow="-108" yWindow="-108" windowWidth="23256" windowHeight="12456" activeTab="1" xr2:uid="{5119D1EE-D976-46F2-B7A7-DD1A75147FCE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C12" i="3"/>
  <c r="C8" i="3"/>
  <c r="C2" i="2" l="1"/>
  <c r="E5" i="2" s="1" a="1"/>
  <c r="E5" i="2" s="1"/>
  <c r="D2" i="1"/>
  <c r="B5" i="1" s="1" a="1"/>
  <c r="B5" i="1" s="1"/>
  <c r="B13" i="1" l="1" a="1"/>
  <c r="B13" i="1" s="1"/>
  <c r="H5" i="2" a="1"/>
  <c r="H5" i="2" s="1"/>
  <c r="B5" i="2" a="1"/>
  <c r="B5" i="2" s="1"/>
  <c r="E5" i="1" a="1"/>
  <c r="E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<sst xmlns="http://schemas.openxmlformats.org/spreadsheetml/2006/main" count="25" uniqueCount="17">
  <si>
    <t>Loan Amount</t>
  </si>
  <si>
    <t>Interest Rate</t>
  </si>
  <si>
    <t>Loan Period</t>
  </si>
  <si>
    <t>Monthly EMI</t>
  </si>
  <si>
    <t>Unit Consumed</t>
  </si>
  <si>
    <t>Rate Per Unit</t>
  </si>
  <si>
    <t>Total Bill</t>
  </si>
  <si>
    <t>GOAL SEEK</t>
  </si>
  <si>
    <t>Target Savings</t>
  </si>
  <si>
    <t>Monthly Savings</t>
  </si>
  <si>
    <t>Months</t>
  </si>
  <si>
    <t>Total Marks</t>
  </si>
  <si>
    <t>Marks Obtained</t>
  </si>
  <si>
    <t>Percentage</t>
  </si>
  <si>
    <t>Height</t>
  </si>
  <si>
    <t>BMI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</si>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</sst>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8" fontId="0" fillId="0" borderId="0" xfId="0" applyNumberForma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2">
    <dxf>
      <numFmt numFmtId="12" formatCode="&quot;$&quot;#,##0.00_);[Red]\(&quot;$&quot;#,##0.00\)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C95E2-3152-4FA2-90B4-8E5D04BA57B1}" name="Table1" displayName="Table1" ref="A1:D2" totalsRowShown="0">
  <autoFilter ref="A1:D2" xr:uid="{07EC95E2-3152-4FA2-90B4-8E5D04BA57B1}"/>
  <tableColumns count="4">
    <tableColumn id="1" xr3:uid="{AD6800BB-C0F8-4BE2-BC43-24325EF0298D}" name="Loan Amount"/>
    <tableColumn id="2" xr3:uid="{3918931A-6364-45AE-A908-11DAAB78F060}" name="Interest Rate" dataDxfId="1"/>
    <tableColumn id="3" xr3:uid="{D2A8D859-AFD2-463B-AF91-4B964B7BFEDB}" name="Loan Period"/>
    <tableColumn id="4" xr3:uid="{121CA395-6EE8-4BF2-9001-677693E4D611}" name="Monthly EMI" dataDxfId="0">
      <calculatedColumnFormula>PMT(B2/12,C2*12,-A2)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C138F-99AE-451E-858E-FAC9F4C3E189}" name="Table3" displayName="Table3" ref="A3:C4" totalsRowShown="0">
  <autoFilter ref="A3:C4" xr:uid="{621C138F-99AE-451E-858E-FAC9F4C3E189}"/>
  <tableColumns count="3">
    <tableColumn id="1" xr3:uid="{535D0B71-D3D8-4354-B69A-CAA585EC5F95}" name="Target Savings"/>
    <tableColumn id="2" xr3:uid="{DAFEBE76-192B-4B57-BEA3-45AB5FD55CA9}" name="Monthly Savings">
      <calculatedColumnFormula>Table3[[#This Row],[Target Savings]]/Table3[[#This Row],[Months]]</calculatedColumnFormula>
    </tableColumn>
    <tableColumn id="3" xr3:uid="{DA0BD6FC-E910-48FA-8C9E-2EB23FCDC540}" name="Month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3125CC-59B5-4113-B244-BBA0A730F0AB}" name="Table4" displayName="Table4" ref="A7:C8" totalsRowShown="0">
  <autoFilter ref="A7:C8" xr:uid="{4F3125CC-59B5-4113-B244-BBA0A730F0AB}"/>
  <tableColumns count="3">
    <tableColumn id="1" xr3:uid="{17B84FA2-4526-4BFD-8A95-64148A6E1568}" name="Total Marks"/>
    <tableColumn id="2" xr3:uid="{F07D36D4-6D70-447C-BAC6-F90C5F6FD170}" name="Marks Obtained"/>
    <tableColumn id="3" xr3:uid="{81CF75D3-23C2-4CDF-B444-E491D80D55CA}" name="Percentage">
      <calculatedColumnFormula>B8/A8*100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BBFB73-B2C8-4ABD-B74A-6A0E2B5A4691}" name="Table5" displayName="Table5" ref="A11:C12" totalsRowShown="0">
  <autoFilter ref="A11:C12" xr:uid="{08BBFB73-B2C8-4ABD-B74A-6A0E2B5A4691}"/>
  <tableColumns count="3">
    <tableColumn id="1" xr3:uid="{601D6107-AD91-4A22-8D7F-1C3C28A25A8B}" name=" "/>
    <tableColumn id="2" xr3:uid="{50598949-BEA5-482F-B8B7-327425DA63A2}" name="Height"/>
    <tableColumn id="3" xr3:uid="{FE0A3219-94E5-4580-9975-D0771DB76EF9}" name="BMI">
      <calculatedColumnFormula>A12/(B12^2)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D859B9-B09D-4904-8CC1-B112C77F1E77}" name="Table2" displayName="Table2" ref="A1:C2" totalsRowShown="0">
  <autoFilter ref="A1:C2" xr:uid="{DBD859B9-B09D-4904-8CC1-B112C77F1E77}"/>
  <tableColumns count="3">
    <tableColumn id="1" xr3:uid="{69314101-616F-4D27-A14B-B0496C51D3A9}" name="Unit Consumed"/>
    <tableColumn id="2" xr3:uid="{C59D680E-A319-45F7-8FCD-9BD671696F97}" name="Rate Per Unit"/>
    <tableColumn id="3" xr3:uid="{5C4E1465-4C6D-4B6C-AA7E-C8B3D92B0B6C}" name="Total Bill">
      <calculatedColumnFormula>A2*B2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C842-CA79-412A-98A9-D706CAE861B8}">
  <dimension ref="A1:H17"/>
  <sheetViews>
    <sheetView workbookViewId="0">
      <selection activeCell="D12" sqref="D12"/>
    </sheetView>
  </sheetViews>
  <sheetFormatPr defaultRowHeight="14.4" x14ac:dyDescent="0.3"/>
  <cols>
    <col min="1" max="1" width="13.5546875" customWidth="1"/>
    <col min="2" max="2" width="14" customWidth="1"/>
    <col min="3" max="3" width="13" customWidth="1"/>
    <col min="4" max="4" width="14.109375" customWidth="1"/>
    <col min="5" max="5" width="10.6640625" bestFit="1" customWidth="1"/>
    <col min="6" max="6" width="1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>
        <v>500000</v>
      </c>
      <c r="B2" s="1">
        <v>0.08</v>
      </c>
      <c r="C2">
        <v>5</v>
      </c>
      <c r="D2" s="2">
        <f>PMT(B2/12,C2*12,-A2)</f>
        <v>10138.197144206841</v>
      </c>
    </row>
    <row r="4" spans="1:8" x14ac:dyDescent="0.3">
      <c r="F4" s="3" t="s">
        <v>1</v>
      </c>
    </row>
    <row r="5" spans="1:8" x14ac:dyDescent="0.3">
      <c r="A5" s="3" t="s">
        <v>1</v>
      </c>
      <c r="B5" s="4" cm="1">
        <f t="array" ref="B5">Table1[Monthly EMI]</f>
        <v>10138.197144206841</v>
      </c>
      <c r="E5" s="4" cm="1">
        <f t="array" ref="E5">Table1[Monthly EMI]</f>
        <v>10138.197144206841</v>
      </c>
      <c r="F5" s="1">
        <v>0.06</v>
      </c>
      <c r="G5" s="1">
        <v>7.0000000000000007E-2</v>
      </c>
      <c r="H5" s="1">
        <v>0.08</v>
      </c>
    </row>
    <row r="6" spans="1:8" x14ac:dyDescent="0.3">
      <c r="A6" s="1">
        <v>0.06</v>
      </c>
      <c r="B6">
        <f t="dataTable" ref="B6:B10" dt2D="0" dtr="0" r1="B2" ca="1"/>
        <v>9666.400764713957</v>
      </c>
      <c r="D6" s="3" t="s">
        <v>0</v>
      </c>
      <c r="E6">
        <v>300000</v>
      </c>
      <c r="F6">
        <f t="dataTable" ref="F6:H8" dt2D="1" dtr="1" r1="B2" r2="A2"/>
        <v>5799.8404588283738</v>
      </c>
      <c r="G6">
        <v>5940.3595621048607</v>
      </c>
      <c r="H6">
        <v>6082.9182865241046</v>
      </c>
    </row>
    <row r="7" spans="1:8" x14ac:dyDescent="0.3">
      <c r="A7" s="1">
        <v>7.0000000000000007E-2</v>
      </c>
      <c r="B7">
        <v>9900.5992701747673</v>
      </c>
      <c r="E7">
        <v>500000</v>
      </c>
      <c r="F7">
        <v>9666.400764713957</v>
      </c>
      <c r="G7">
        <v>9900.5992701747673</v>
      </c>
      <c r="H7">
        <v>10138.197144206841</v>
      </c>
    </row>
    <row r="8" spans="1:8" x14ac:dyDescent="0.3">
      <c r="A8" s="1">
        <v>0.08</v>
      </c>
      <c r="B8">
        <v>10138.197144206841</v>
      </c>
      <c r="E8">
        <v>700000</v>
      </c>
      <c r="F8">
        <v>13532.96107059954</v>
      </c>
      <c r="G8">
        <v>13860.838978244674</v>
      </c>
      <c r="H8">
        <v>14193.476001889576</v>
      </c>
    </row>
    <row r="9" spans="1:8" x14ac:dyDescent="0.3">
      <c r="A9" s="1">
        <v>0.09</v>
      </c>
      <c r="B9">
        <v>10379.177613177004</v>
      </c>
    </row>
    <row r="10" spans="1:8" x14ac:dyDescent="0.3">
      <c r="A10" s="1">
        <v>0.1</v>
      </c>
      <c r="B10">
        <v>10623.522355634139</v>
      </c>
    </row>
    <row r="13" spans="1:8" x14ac:dyDescent="0.3">
      <c r="A13" s="3" t="s">
        <v>2</v>
      </c>
      <c r="B13" s="4" cm="1">
        <f t="array" ref="B13">Table1[Monthly EMI]</f>
        <v>10138.197144206841</v>
      </c>
    </row>
    <row r="14" spans="1:8" x14ac:dyDescent="0.3">
      <c r="A14">
        <v>5</v>
      </c>
      <c r="B14">
        <f t="dataTable" ref="B14:B17" dt2D="0" dtr="0" r1="C2" ca="1"/>
        <v>10138.197144206841</v>
      </c>
    </row>
    <row r="15" spans="1:8" x14ac:dyDescent="0.3">
      <c r="A15">
        <v>10</v>
      </c>
      <c r="B15">
        <v>6066.3797177678462</v>
      </c>
    </row>
    <row r="16" spans="1:8" x14ac:dyDescent="0.3">
      <c r="A16">
        <v>15</v>
      </c>
      <c r="B16">
        <v>4778.2604216517575</v>
      </c>
    </row>
    <row r="17" spans="1:2" x14ac:dyDescent="0.3">
      <c r="A17">
        <v>20</v>
      </c>
      <c r="B17">
        <v>4182.2003449673139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EFFC-28C3-404D-A4DD-C546DB09FF56}">
  <dimension ref="A1:C12"/>
  <sheetViews>
    <sheetView tabSelected="1" workbookViewId="0">
      <selection activeCell="B5" sqref="B5"/>
    </sheetView>
  </sheetViews>
  <sheetFormatPr defaultRowHeight="14.4" x14ac:dyDescent="0.3"/>
  <cols>
    <col min="1" max="1" width="24" customWidth="1"/>
    <col min="2" max="2" width="31.21875" customWidth="1"/>
    <col min="3" max="3" width="12.21875" customWidth="1"/>
  </cols>
  <sheetData>
    <row r="1" spans="1:3" x14ac:dyDescent="0.3">
      <c r="A1" t="s">
        <v>7</v>
      </c>
    </row>
    <row r="3" spans="1:3" x14ac:dyDescent="0.3">
      <c r="A3" t="s">
        <v>8</v>
      </c>
      <c r="B3" t="s">
        <v>9</v>
      </c>
      <c r="C3" t="s">
        <v>10</v>
      </c>
    </row>
    <row r="4" spans="1:3" x14ac:dyDescent="0.3">
      <c r="A4">
        <v>150000</v>
      </c>
      <c r="B4">
        <f>Table3[[#This Row],[Target Savings]]/Table3[[#This Row],[Months]]</f>
        <v>6250</v>
      </c>
      <c r="C4">
        <v>24</v>
      </c>
    </row>
    <row r="7" spans="1:3" x14ac:dyDescent="0.3">
      <c r="A7" t="s">
        <v>11</v>
      </c>
      <c r="B7" t="s">
        <v>12</v>
      </c>
      <c r="C7" t="s">
        <v>13</v>
      </c>
    </row>
    <row r="8" spans="1:3" x14ac:dyDescent="0.3">
      <c r="A8">
        <v>600</v>
      </c>
      <c r="B8">
        <v>360</v>
      </c>
      <c r="C8">
        <f>B8/A8*100</f>
        <v>60</v>
      </c>
    </row>
    <row r="11" spans="1:3" x14ac:dyDescent="0.3">
      <c r="A11" t="s">
        <v>16</v>
      </c>
      <c r="B11" t="s">
        <v>14</v>
      </c>
      <c r="C11" t="s">
        <v>15</v>
      </c>
    </row>
    <row r="12" spans="1:3" x14ac:dyDescent="0.3">
      <c r="A12">
        <v>63.579999999999984</v>
      </c>
      <c r="B12">
        <v>1.7</v>
      </c>
      <c r="C12">
        <f>A12/(B12^2)</f>
        <v>21.999999999999996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C6CD-50CC-414A-82F7-483F84D20986}">
  <dimension ref="A1:M10"/>
  <sheetViews>
    <sheetView workbookViewId="0">
      <selection activeCell="D16" sqref="D16"/>
    </sheetView>
  </sheetViews>
  <sheetFormatPr defaultRowHeight="14.4" x14ac:dyDescent="0.3"/>
  <cols>
    <col min="1" max="1" width="15.5546875" customWidth="1"/>
    <col min="2" max="2" width="14.6640625" customWidth="1"/>
    <col min="3" max="3" width="10.109375" customWidth="1"/>
    <col min="4" max="4" width="15" customWidth="1"/>
    <col min="7" max="7" width="13.5546875" customWidth="1"/>
    <col min="9" max="9" width="11.6640625" customWidth="1"/>
  </cols>
  <sheetData>
    <row r="1" spans="1:13" x14ac:dyDescent="0.3">
      <c r="A1" t="s">
        <v>4</v>
      </c>
      <c r="B1" t="s">
        <v>5</v>
      </c>
      <c r="C1" t="s">
        <v>6</v>
      </c>
    </row>
    <row r="2" spans="1:13" x14ac:dyDescent="0.3">
      <c r="A2">
        <v>350</v>
      </c>
      <c r="B2">
        <v>8</v>
      </c>
      <c r="C2">
        <f>A2*B2</f>
        <v>2800</v>
      </c>
    </row>
    <row r="4" spans="1:13" x14ac:dyDescent="0.3">
      <c r="I4" s="3" t="s">
        <v>5</v>
      </c>
    </row>
    <row r="5" spans="1:13" x14ac:dyDescent="0.3">
      <c r="A5" s="3" t="s">
        <v>5</v>
      </c>
      <c r="B5" s="3" cm="1">
        <f t="array" ref="B5">Table2[Total Bill]</f>
        <v>2800</v>
      </c>
      <c r="D5" s="3" t="s">
        <v>4</v>
      </c>
      <c r="E5" s="3" cm="1">
        <f t="array" ref="E5">Table2[Total Bill]</f>
        <v>2800</v>
      </c>
      <c r="H5" s="3" cm="1">
        <f t="array" ref="H5">Table2[Total Bill]</f>
        <v>2800</v>
      </c>
      <c r="I5">
        <v>6</v>
      </c>
      <c r="J5">
        <v>7</v>
      </c>
      <c r="K5">
        <v>8</v>
      </c>
      <c r="L5">
        <v>9</v>
      </c>
      <c r="M5">
        <v>10</v>
      </c>
    </row>
    <row r="6" spans="1:13" x14ac:dyDescent="0.3">
      <c r="A6">
        <v>6</v>
      </c>
      <c r="B6">
        <f t="dataTable" ref="B6:B10" dt2D="0" dtr="0" r1="B2"/>
        <v>2100</v>
      </c>
      <c r="D6">
        <v>200</v>
      </c>
      <c r="E6">
        <f t="dataTable" ref="E6:E10" dt2D="0" dtr="0" r1="A2" ca="1"/>
        <v>1600</v>
      </c>
      <c r="G6" s="3" t="s">
        <v>4</v>
      </c>
      <c r="H6">
        <v>200</v>
      </c>
      <c r="I6">
        <f t="dataTable" ref="I6:M10" dt2D="1" dtr="1" r1="B2" r2="A2" ca="1"/>
        <v>1200</v>
      </c>
      <c r="J6">
        <v>1400</v>
      </c>
      <c r="K6">
        <v>1600</v>
      </c>
      <c r="L6">
        <v>1800</v>
      </c>
      <c r="M6">
        <v>2000</v>
      </c>
    </row>
    <row r="7" spans="1:13" x14ac:dyDescent="0.3">
      <c r="A7">
        <v>7</v>
      </c>
      <c r="B7">
        <v>2450</v>
      </c>
      <c r="D7">
        <v>300</v>
      </c>
      <c r="E7">
        <v>2400</v>
      </c>
      <c r="H7">
        <v>300</v>
      </c>
      <c r="I7">
        <v>1800</v>
      </c>
      <c r="J7">
        <v>2100</v>
      </c>
      <c r="K7">
        <v>2400</v>
      </c>
      <c r="L7">
        <v>2700</v>
      </c>
      <c r="M7">
        <v>3000</v>
      </c>
    </row>
    <row r="8" spans="1:13" x14ac:dyDescent="0.3">
      <c r="A8">
        <v>8</v>
      </c>
      <c r="B8">
        <v>2800</v>
      </c>
      <c r="D8">
        <v>400</v>
      </c>
      <c r="E8">
        <v>3200</v>
      </c>
      <c r="H8">
        <v>400</v>
      </c>
      <c r="I8">
        <v>2400</v>
      </c>
      <c r="J8">
        <v>2800</v>
      </c>
      <c r="K8">
        <v>3200</v>
      </c>
      <c r="L8">
        <v>3600</v>
      </c>
      <c r="M8">
        <v>4000</v>
      </c>
    </row>
    <row r="9" spans="1:13" x14ac:dyDescent="0.3">
      <c r="A9">
        <v>9</v>
      </c>
      <c r="B9">
        <v>3150</v>
      </c>
      <c r="D9">
        <v>500</v>
      </c>
      <c r="E9">
        <v>4000</v>
      </c>
      <c r="H9">
        <v>500</v>
      </c>
      <c r="I9">
        <v>3000</v>
      </c>
      <c r="J9">
        <v>3500</v>
      </c>
      <c r="K9">
        <v>4000</v>
      </c>
      <c r="L9">
        <v>4500</v>
      </c>
      <c r="M9">
        <v>5000</v>
      </c>
    </row>
    <row r="10" spans="1:13" x14ac:dyDescent="0.3">
      <c r="A10">
        <v>10</v>
      </c>
      <c r="B10">
        <v>3500</v>
      </c>
      <c r="D10">
        <v>600</v>
      </c>
      <c r="E10">
        <v>4800</v>
      </c>
      <c r="H10">
        <v>600</v>
      </c>
      <c r="I10">
        <v>3600</v>
      </c>
      <c r="J10">
        <v>4200</v>
      </c>
      <c r="K10">
        <v>4800</v>
      </c>
      <c r="L10">
        <v>5400</v>
      </c>
      <c r="M10">
        <v>6000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muneer olavilam</dc:creator>
  <cp:lastModifiedBy>muneer olavilam</cp:lastModifiedBy>
  <dcterms:created xsi:type="dcterms:W3CDTF">2026-08-05T11:58:10Z</dcterms:created>
  <dcterms:modified xsi:type="dcterms:W3CDTF">2026-08-07T10:15:06Z</dcterms:modified>
</cp:coreProperties>
</file>